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Executive_Summary" sheetId="1" state="visible" r:id="rId3"/>
    <sheet name="2_Detailed_Costs" sheetId="2" state="visible" r:id="rId4"/>
    <sheet name="3_Strategic_Comparison" sheetId="3" state="visible" r:id="rId5"/>
    <sheet name="4_TO_VERIFY_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<sst xmlns="http://schemas.openxmlformats.org/spreadsheetml/2006/main" count="299" uniqueCount="232">
  <si>
    <t xml:space="preserve">PropPlatform — Data Sources Investment Decision</t>
  </si>
  <si>
    <t xml:space="preserve">Compare data source paths to enrich PropPulse beyond AI-scraped websites</t>
  </si>
  <si>
    <t xml:space="preserve">Date created:</t>
  </si>
  <si>
    <t xml:space="preserve">06 May 2026</t>
  </si>
  <si>
    <t xml:space="preserve">Prepared for:</t>
  </si>
  <si>
    <t xml:space="preserve">Abid Mirza + Partner discussion</t>
  </si>
  <si>
    <t xml:space="preserve">Status:</t>
  </si>
  <si>
    <t xml:space="preserve">ESTIMATES — must be verified by team before commitment</t>
  </si>
  <si>
    <t xml:space="preserve">COLOR KEY</t>
  </si>
  <si>
    <t xml:space="preserve">Light blue cell</t>
  </si>
  <si>
    <t xml:space="preserve">Estimate from Claude research (web search, public sources)</t>
  </si>
  <si>
    <t xml:space="preserve">Yellow cell</t>
  </si>
  <si>
    <t xml:space="preserve">TO VERIFY — team must confirm with vendor/PRO/DLD directly</t>
  </si>
  <si>
    <t xml:space="preserve">Green cell</t>
  </si>
  <si>
    <t xml:space="preserve">Total / summary calculation</t>
  </si>
  <si>
    <t xml:space="preserve">Blue text</t>
  </si>
  <si>
    <t xml:space="preserve">Hardcoded input value</t>
  </si>
  <si>
    <t xml:space="preserve">Black text</t>
  </si>
  <si>
    <t xml:space="preserve">Excel formula / calculation</t>
  </si>
  <si>
    <t xml:space="preserve">QUICK SUMMARY — 5 PATHS COMPARED</t>
  </si>
  <si>
    <t xml:space="preserve">Path</t>
  </si>
  <si>
    <t xml:space="preserve">One-Time Setup (AED)</t>
  </si>
  <si>
    <t xml:space="preserve">Annual Ongoing (AED)</t>
  </si>
  <si>
    <t xml:space="preserve">Time to Live</t>
  </si>
  <si>
    <t xml:space="preserve">Confidence</t>
  </si>
  <si>
    <t xml:space="preserve">Strategic Value</t>
  </si>
  <si>
    <t xml:space="preserve">0. Continue current (AI scraping only)</t>
  </si>
  <si>
    <t xml:space="preserve">Already live</t>
  </si>
  <si>
    <t xml:space="preserve">High</t>
  </si>
  <si>
    <t xml:space="preserve">Baseline</t>
  </si>
  <si>
    <t xml:space="preserve">1. Add Dubai Pulse Open Data (free CSV/API)</t>
  </si>
  <si>
    <t xml:space="preserve">1-2 weeks</t>
  </si>
  <si>
    <t xml:space="preserve">Quick win</t>
  </si>
  <si>
    <t xml:space="preserve">2. Add DLD Regulated APIs (Trakheesi, Oqood)</t>
  </si>
  <si>
    <t xml:space="preserve">TBD</t>
  </si>
  <si>
    <t xml:space="preserve">6-10 weeks</t>
  </si>
  <si>
    <t xml:space="preserve">Medium</t>
  </si>
  <si>
    <t xml:space="preserve">High differentiation</t>
  </si>
  <si>
    <t xml:space="preserve">3. Add DARI / ADRES (Abu Dhabi)</t>
  </si>
  <si>
    <t xml:space="preserve">6-12 weeks</t>
  </si>
  <si>
    <t xml:space="preserve">Low-Medium</t>
  </si>
  <si>
    <t xml:space="preserve">Geographic expansion</t>
  </si>
  <si>
    <t xml:space="preserve">4. Subscribe Bayut/Reelly API</t>
  </si>
  <si>
    <t xml:space="preserve">60,000-180,000</t>
  </si>
  <si>
    <t xml:space="preserve">Quick coverage</t>
  </si>
  <si>
    <t xml:space="preserve">MY RECOMMENDATION (subject to verification)</t>
  </si>
  <si>
    <t xml:space="preserve">Phase 1 (now)</t>
  </si>
  <si>
    <t xml:space="preserve">Path 1 (Dubai Pulse Open Data) — free, immediate, gives 'we ingest from DLD' as real talking point</t>
  </si>
  <si>
    <t xml:space="preserve">Phase 2 (1-2 months)</t>
  </si>
  <si>
    <t xml:space="preserve">Apply for DLD trade license amendment + DLD API access in parallel — use waiting time productively</t>
  </si>
  <si>
    <t xml:space="preserve">Phase 3 (3-6 months)</t>
  </si>
  <si>
    <t xml:space="preserve">Once approved, integrate DLD regulated APIs (Oqood for off-plan registration data) — true differentiation</t>
  </si>
  <si>
    <t xml:space="preserve">Defer</t>
  </si>
  <si>
    <t xml:space="preserve">Path 3 (Abu Dhabi DARI), Path 4 (Bayut paid API) — only when geographic or coverage demand is concrete</t>
  </si>
  <si>
    <t xml:space="preserve">WHY THIS ORDER</t>
  </si>
  <si>
    <t xml:space="preserve">1. Dubai Pulse open data is FREE and works without trade license amendment — start tomorrow</t>
  </si>
  <si>
    <t xml:space="preserve">2. Trade license amendment + DLD API approval take 4-8 weeks combined; start the wait early</t>
  </si>
  <si>
    <t xml:space="preserve">3. Bayut/Reelly subscriptions cost AED 60K+/year — wait until customers ask for it</t>
  </si>
  <si>
    <t xml:space="preserve">4. Abu Dhabi expansion is a geographic decision, not a data decision — defer until business case clear</t>
  </si>
  <si>
    <t xml:space="preserve">Detailed Cost Breakdown by Path</t>
  </si>
  <si>
    <t xml:space="preserve">PATH 0 — Current State (Baseline) — AI Web Scraping</t>
  </si>
  <si>
    <t xml:space="preserve">Already deployed. Anthropic Claude + web_search tool extracts project data from developer websites. Current cost = ongoing API usage only.</t>
  </si>
  <si>
    <t xml:space="preserve">PATH 1 — Dubai Pulse Open Data (Recommended Phase 1)</t>
  </si>
  <si>
    <t xml:space="preserve">Cost Item</t>
  </si>
  <si>
    <t xml:space="preserve">Low Estimate (AED)</t>
  </si>
  <si>
    <t xml:space="preserve">High Estimate (AED)</t>
  </si>
  <si>
    <t xml:space="preserve">Source / Notes</t>
  </si>
  <si>
    <t xml:space="preserve">Status</t>
  </si>
  <si>
    <t xml:space="preserve">Dubai Pulse API access (open data)</t>
  </si>
  <si>
    <t xml:space="preserve">FREE — no cost. Public open data portal. Self-registration. https://www.dubaipulse.gov.ae/</t>
  </si>
  <si>
    <t xml:space="preserve">CONFIRMED</t>
  </si>
  <si>
    <t xml:space="preserve">Developer time — ingestion pipeline (one-time)</t>
  </si>
  <si>
    <t xml:space="preserve">~40-60 hours of work. Build CSV/API ingest, schema mapping, deduplication vs current PropPulse data, freshness scheduler.</t>
  </si>
  <si>
    <t xml:space="preserve">ESTIMATE</t>
  </si>
  <si>
    <t xml:space="preserve">Developer time — UI integration (one-time)</t>
  </si>
  <si>
    <t xml:space="preserve">~20-40 hours. Show DLD source on project tiles, "Verified by DLD" badges, source filter.</t>
  </si>
  <si>
    <t xml:space="preserve">Hosting/database additional cost</t>
  </si>
  <si>
    <t xml:space="preserve">Marginal Supabase storage increase. Likely within current plan.</t>
  </si>
  <si>
    <t xml:space="preserve">Annual maintenance</t>
  </si>
  <si>
    <t xml:space="preserve">Schema changes if Dubai Pulse format changes. Minor.</t>
  </si>
  <si>
    <t xml:space="preserve">TOTAL</t>
  </si>
  <si>
    <t xml:space="preserve">PATH 2 — DLD Regulated APIs (Recommended Phase 2-3)</t>
  </si>
  <si>
    <t xml:space="preserve">Trade license amendment — add software activity</t>
  </si>
  <si>
    <t xml:space="preserve">DMCC: AED 1,500-2,500 per activity. JAFZA: AED 1,000-2,000. Mainland DET: AED 1,500-3,000. Single activity addition.</t>
  </si>
  <si>
    <t xml:space="preserve">PRO service fee for amendment</t>
  </si>
  <si>
    <t xml:space="preserve">Typical PRO service charges for handling DET filing.</t>
  </si>
  <si>
    <t xml:space="preserve">DLD business account registration</t>
  </si>
  <si>
    <t xml:space="preserve">Need to inquire DLD directly. Most open APIs are free; commercial APIs may have setup fees.</t>
  </si>
  <si>
    <t xml:space="preserve">TO VERIFY</t>
  </si>
  <si>
    <t xml:space="preserve">Trakheesi Listing Validation API access</t>
  </si>
  <si>
    <t xml:space="preserve">Free for licensed entities. Need DLD account + business approval.</t>
  </si>
  <si>
    <t xml:space="preserve">Oqood API access (off-plan registration)</t>
  </si>
  <si>
    <t xml:space="preserve">Free for licensed entities. Required for off-plan project visibility before public announcement.</t>
  </si>
  <si>
    <t xml:space="preserve">Mollak API (service charge data)</t>
  </si>
  <si>
    <t xml:space="preserve">Free for Mollak-registered banks/PMCs. May not apply to broker SaaS.</t>
  </si>
  <si>
    <t xml:space="preserve">DLD usage fees per API call</t>
  </si>
  <si>
    <t xml:space="preserve">Most DLD APIs are free for approved entities. Some may have transaction fees. To verify.</t>
  </si>
  <si>
    <t xml:space="preserve">Developer time — DLD integration (one-time)</t>
  </si>
  <si>
    <t xml:space="preserve">~150-300 hours. OAuth, API client wrappers, error handling, audit logs, schema integration with PropPulse.</t>
  </si>
  <si>
    <t xml:space="preserve">Compliance / legal review (one-time)</t>
  </si>
  <si>
    <t xml:space="preserve">Data handling agreement with DLD, privacy compliance for transaction data.</t>
  </si>
  <si>
    <t xml:space="preserve">Annual trade license renewal premium</t>
  </si>
  <si>
    <t xml:space="preserve">Additional renewal fee for added activity (recurring).</t>
  </si>
  <si>
    <t xml:space="preserve">Annual ongoing — API monitoring/maintenance</t>
  </si>
  <si>
    <t xml:space="preserve">DevOps + on-call for DLD API changes. Critical to keep operational.</t>
  </si>
  <si>
    <t xml:space="preserve">PATH 3 — DARI / ADRES (Abu Dhabi) — Defer</t>
  </si>
  <si>
    <t xml:space="preserve">ADRES regulated portal registration</t>
  </si>
  <si>
    <t xml:space="preserve">Need to inquire ADRES directly. Setup fees not publicly disclosed.</t>
  </si>
  <si>
    <t xml:space="preserve">Trade license activity for AD operations</t>
  </si>
  <si>
    <t xml:space="preserve">May or may not need separate AD activity. Depends on free zone vs mainland.</t>
  </si>
  <si>
    <t xml:space="preserve">DARI API access fees</t>
  </si>
  <si>
    <t xml:space="preserve">Not publicly disclosed. To inquire.</t>
  </si>
  <si>
    <t xml:space="preserve">Developer time — DARI integration (one-time)</t>
  </si>
  <si>
    <t xml:space="preserve">~125-250 hours. Similar scope to DLD integration.</t>
  </si>
  <si>
    <t xml:space="preserve">Annual ongoing — maintenance</t>
  </si>
  <si>
    <t xml:space="preserve">Smaller dataset than Dubai but still requires monitoring.</t>
  </si>
  <si>
    <t xml:space="preserve">PATH 4 — Bayut / PropertyFinder / Reelly Paid APIs</t>
  </si>
  <si>
    <t xml:space="preserve">Bayut API — basic plan setup</t>
  </si>
  <si>
    <t xml:space="preserve">Free tier: 900 requests/month. RapidAPI hosted. Self-service.</t>
  </si>
  <si>
    <t xml:space="preserve">Bayut API — paid tier (annual)</t>
  </si>
  <si>
    <t xml:space="preserve">Production-scale tiers not publicly priced. Estimated based on RapidAPI patterns. To negotiate.</t>
  </si>
  <si>
    <t xml:space="preserve">PropertyFinder Pro Data Hub (annual)</t>
  </si>
  <si>
    <t xml:space="preserve">Pricing not public. Direct sales contact required.</t>
  </si>
  <si>
    <t xml:space="preserve">Reelly subscription per broker (annual)</t>
  </si>
  <si>
    <t xml:space="preserve">Estimated AED 500-2,000/broker/month range based on market intel. To verify with Reelly.</t>
  </si>
  <si>
    <t xml:space="preserve">Developer time — single API integration (one-time)</t>
  </si>
  <si>
    <t xml:space="preserve">~20-40 hours per API. Simpler than DLD because well-documented.</t>
  </si>
  <si>
    <t xml:space="preserve">Annual ongoing — multiple API costs</t>
  </si>
  <si>
    <t xml:space="preserve">Combined Bayut + PF + Reelly if all subscribed. Single source: 30K-60K. All three: 100K-180K.</t>
  </si>
  <si>
    <t xml:space="preserve">Strategic Comparison: What Each Path Buys You</t>
  </si>
  <si>
    <t xml:space="preserve">Aspect</t>
  </si>
  <si>
    <t xml:space="preserve">Path 0
Current</t>
  </si>
  <si>
    <t xml:space="preserve">Path 1
Dubai Pulse</t>
  </si>
  <si>
    <t xml:space="preserve">Path 2
DLD Regulated</t>
  </si>
  <si>
    <t xml:space="preserve">Path 3
DARI AD</t>
  </si>
  <si>
    <t xml:space="preserve">Path 4
Bayut/Reelly</t>
  </si>
  <si>
    <t xml:space="preserve">Coverage — # of Dubai projects accessible</t>
  </si>
  <si>
    <t xml:space="preserve">~27 (current)</t>
  </si>
  <si>
    <t xml:space="preserve">5,000+ (full DLD registry)</t>
  </si>
  <si>
    <t xml:space="preserve">5,000+ + off-plan early</t>
  </si>
  <si>
    <t xml:space="preserve">— (Abu Dhabi only)</t>
  </si>
  <si>
    <t xml:space="preserve">5,000+ listings (active only)</t>
  </si>
  <si>
    <t xml:space="preserve">Coverage — Abu Dhabi</t>
  </si>
  <si>
    <t xml:space="preserve">Limited</t>
  </si>
  <si>
    <t xml:space="preserve">~9,000+ AD units</t>
  </si>
  <si>
    <t xml:space="preserve">5,000+ AD listings</t>
  </si>
  <si>
    <t xml:space="preserve">Off-plan project visibility</t>
  </si>
  <si>
    <t xml:space="preserve">Public announcements only</t>
  </si>
  <si>
    <t xml:space="preserve">After DLD registration</t>
  </si>
  <si>
    <t xml:space="preserve">BEFORE public announcement (Oqood)</t>
  </si>
  <si>
    <t xml:space="preserve">After DARI registration</t>
  </si>
  <si>
    <t xml:space="preserve">After listing portal post</t>
  </si>
  <si>
    <t xml:space="preserve">Data freshness</t>
  </si>
  <si>
    <t xml:space="preserve">Daily (per cron schedule)</t>
  </si>
  <si>
    <t xml:space="preserve">Daily/weekly (Dubai Pulse refresh)</t>
  </si>
  <si>
    <t xml:space="preserve">Real-time (regulated API)</t>
  </si>
  <si>
    <t xml:space="preserve">Real-time</t>
  </si>
  <si>
    <t xml:space="preserve">Authoritative source</t>
  </si>
  <si>
    <t xml:space="preserve">No (AI extracted)</t>
  </si>
  <si>
    <t xml:space="preserve">Yes (gov data)</t>
  </si>
  <si>
    <t xml:space="preserve">No (portal aggregation)</t>
  </si>
  <si>
    <t xml:space="preserve">Differentiation vs SEM/Reelly</t>
  </si>
  <si>
    <t xml:space="preserve">Same as competitors</t>
  </si>
  <si>
    <t xml:space="preserve">Modest — most use this</t>
  </si>
  <si>
    <t xml:space="preserve">Strong — few have approval</t>
  </si>
  <si>
    <t xml:space="preserve">Strong — geographic moat</t>
  </si>
  <si>
    <t xml:space="preserve">None — Reelly does this</t>
  </si>
  <si>
    <t xml:space="preserve">Trade license requirement</t>
  </si>
  <si>
    <t xml:space="preserve">None</t>
  </si>
  <si>
    <t xml:space="preserve">YES — software activity needed</t>
  </si>
  <si>
    <t xml:space="preserve">YES (likely)</t>
  </si>
  <si>
    <t xml:space="preserve">Time to live</t>
  </si>
  <si>
    <t xml:space="preserve">6-10 weeks (with approval)</t>
  </si>
  <si>
    <t xml:space="preserve">Customer credibility — broker view</t>
  </si>
  <si>
    <t xml:space="preserve">Mixed</t>
  </si>
  <si>
    <t xml:space="preserve">"From DLD" — credible</t>
  </si>
  <si>
    <t xml:space="preserve">"DLD-approved partner" — strongest</t>
  </si>
  <si>
    <t xml:space="preserve">AD only</t>
  </si>
  <si>
    <t xml:space="preserve">Same as Reelly</t>
  </si>
  <si>
    <t xml:space="preserve">Risk if NOT pursued</t>
  </si>
  <si>
    <t xml:space="preserve">—</t>
  </si>
  <si>
    <t xml:space="preserve">Look outdated vs BrokerPro</t>
  </si>
  <si>
    <t xml:space="preserve">Lose to BrokerPro on off-plan claim</t>
  </si>
  <si>
    <t xml:space="preserve">Lose AD market</t>
  </si>
  <si>
    <t xml:space="preserve">Lose to Reelly customers</t>
  </si>
  <si>
    <t xml:space="preserve">Verification Checklist — Numbers to Confirm Before Committing</t>
  </si>
  <si>
    <t xml:space="preserve">Hand to PRO / business team to confirm. Update this sheet as numbers come back.</t>
  </si>
  <si>
    <t xml:space="preserve">#</t>
  </si>
  <si>
    <t xml:space="preserve">Item to Verify</t>
  </si>
  <si>
    <t xml:space="preserve">Who to Contact</t>
  </si>
  <si>
    <t xml:space="preserve">Estimated (AED)</t>
  </si>
  <si>
    <t xml:space="preserve">Confirmed (AED)</t>
  </si>
  <si>
    <t xml:space="preserve">1</t>
  </si>
  <si>
    <t xml:space="preserve">Trade license amendment — add software/computer systems activity to BFC license</t>
  </si>
  <si>
    <t xml:space="preserve">PRO agent / DET / free zone authority</t>
  </si>
  <si>
    <t xml:space="preserve">1,500 - 3,000</t>
  </si>
  <si>
    <t xml:space="preserve">2</t>
  </si>
  <si>
    <t xml:space="preserve">PRO service fee for amendment paperwork</t>
  </si>
  <si>
    <t xml:space="preserve">PRO agent</t>
  </si>
  <si>
    <t xml:space="preserve">3</t>
  </si>
  <si>
    <t xml:space="preserve">Annual recurring premium for additional activity</t>
  </si>
  <si>
    <t xml:space="preserve">4</t>
  </si>
  <si>
    <t xml:space="preserve">DLD business account registration fees (if any)</t>
  </si>
  <si>
    <t xml:space="preserve">DLD directly: customer.relations@dubailand.gov.ae</t>
  </si>
  <si>
    <t xml:space="preserve">0 - 5,000</t>
  </si>
  <si>
    <t xml:space="preserve">5</t>
  </si>
  <si>
    <t xml:space="preserve">DLD Trakheesi/Oqood/Mollak API setup fees</t>
  </si>
  <si>
    <t xml:space="preserve">DLD API team via dubailand.gov.ae/eservices/api-gateway/</t>
  </si>
  <si>
    <t xml:space="preserve">Likely 0</t>
  </si>
  <si>
    <t xml:space="preserve">6</t>
  </si>
  <si>
    <t xml:space="preserve">DLD per-call usage fees (if any)</t>
  </si>
  <si>
    <t xml:space="preserve">DLD API team</t>
  </si>
  <si>
    <t xml:space="preserve">7</t>
  </si>
  <si>
    <t xml:space="preserve">ADRES Abu Dhabi portal registration</t>
  </si>
  <si>
    <t xml:space="preserve">ADRES directly via adres.ae</t>
  </si>
  <si>
    <t xml:space="preserve">8</t>
  </si>
  <si>
    <t xml:space="preserve">ADRES API team</t>
  </si>
  <si>
    <t xml:space="preserve">9</t>
  </si>
  <si>
    <t xml:space="preserve">Bayut API paid tier — actual quote for production use</t>
  </si>
  <si>
    <t xml:space="preserve">Bayut sales / RapidAPI</t>
  </si>
  <si>
    <t xml:space="preserve">30,000 - 100,000</t>
  </si>
  <si>
    <t xml:space="preserve">10</t>
  </si>
  <si>
    <t xml:space="preserve">PropertyFinder Pro Data Hub annual subscription</t>
  </si>
  <si>
    <t xml:space="preserve">PropertyFinder enterprise sales</t>
  </si>
  <si>
    <t xml:space="preserve">11</t>
  </si>
  <si>
    <t xml:space="preserve">Reelly subscription per-broker pricing</t>
  </si>
  <si>
    <t xml:space="preserve">Reelly via reelly.io</t>
  </si>
  <si>
    <t xml:space="preserve">6,000 - 24,000 per user</t>
  </si>
  <si>
    <t xml:space="preserve">12</t>
  </si>
  <si>
    <t xml:space="preserve">Whether existing BFC license blocks adding software activity</t>
  </si>
  <si>
    <t xml:space="preserve">PRO + license issuing authority</t>
  </si>
  <si>
    <t xml:space="preserve">See note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</si>
</sst>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540"/>
        <bgColor rgb="FF333333"/>
      </patternFill>
    </fill>
    <fill>
      <patternFill patternType="solid">
        <fgColor rgb="FFFFF3CD"/>
        <bgColor rgb="FFF0F0F0"/>
      </patternFill>
    </fill>
    <fill>
      <patternFill patternType="solid">
        <fgColor rgb="FFE8F4F8"/>
        <bgColor rgb="FFF0F0F0"/>
      </patternFill>
    </fill>
    <fill>
      <patternFill patternType="solid">
        <fgColor rgb="FFD4EDDA"/>
        <bgColor rgb="FFE8F4F8"/>
      </patternFill>
    </fill>
    <fill>
      <patternFill patternType="solid">
        <fgColor rgb="FF2F5582"/>
        <bgColor rgb="FF666699"/>
      </patternFill>
    </fill>
    <fill>
      <patternFill patternType="solid">
        <fgColor rgb="FFF0F0F0"/>
        <bgColor rgb="FFE8F4F8"/>
      </patternFill>
    </fill>
    <fill>
      <patternFill patternType="solid">
        <fgColor rgb="FFF8F8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4EDDA"/>
      <rgbColor rgb="FFF8F8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540"/>
      <rgbColor rgb="FF339966"/>
      <rgbColor rgb="FF003300"/>
      <rgbColor rgb="FF333300"/>
      <rgbColor rgb="FF993300"/>
      <rgbColor rgb="FF993366"/>
      <rgbColor rgb="FF2F55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3" t="s">
        <v>7</v>
      </c>
    </row>
    <row r="8" customFormat="false" ht="15" hidden="false" customHeight="false" outlineLevel="0" collapsed="false">
      <c r="A8" s="4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3" t="s">
        <v>11</v>
      </c>
      <c r="B10" s="6" t="s">
        <v>12</v>
      </c>
    </row>
    <row r="11" customFormat="false" ht="15" hidden="false" customHeight="false" outlineLevel="0" collapsed="false">
      <c r="A11" s="7" t="s">
        <v>13</v>
      </c>
      <c r="B11" s="6" t="s">
        <v>14</v>
      </c>
    </row>
    <row r="12" customFormat="false" ht="15" hidden="false" customHeight="false" outlineLevel="0" collapsed="false">
      <c r="A12" s="8" t="s">
        <v>15</v>
      </c>
      <c r="B12" s="6" t="s">
        <v>16</v>
      </c>
    </row>
    <row r="13" customFormat="false" ht="15" hidden="false" customHeight="false" outlineLevel="0" collapsed="false">
      <c r="A13" s="9" t="s">
        <v>17</v>
      </c>
      <c r="B13" s="6" t="s">
        <v>18</v>
      </c>
    </row>
    <row r="15" customFormat="false" ht="15" hidden="false" customHeight="false" outlineLevel="0" collapsed="false">
      <c r="A15" s="10" t="s">
        <v>19</v>
      </c>
      <c r="B15" s="10"/>
      <c r="C15" s="10"/>
      <c r="D15" s="10"/>
      <c r="E15" s="10"/>
      <c r="F15" s="10"/>
    </row>
    <row r="16" customFormat="false" ht="34.5" hidden="false" customHeight="true" outlineLevel="0" collapsed="false">
      <c r="A16" s="11" t="s">
        <v>20</v>
      </c>
      <c r="B16" s="11" t="s">
        <v>21</v>
      </c>
      <c r="C16" s="11" t="s">
        <v>22</v>
      </c>
      <c r="D16" s="11" t="s">
        <v>23</v>
      </c>
      <c r="E16" s="11" t="s">
        <v>24</v>
      </c>
      <c r="F16" s="11" t="s">
        <v>25</v>
      </c>
    </row>
    <row r="17" customFormat="false" ht="30" hidden="false" customHeight="true" outlineLevel="0" collapsed="false">
      <c r="A17" s="12" t="s">
        <v>26</v>
      </c>
      <c r="B17" s="12" t="n">
        <v>0</v>
      </c>
      <c r="C17" s="12" t="n">
        <v>0</v>
      </c>
      <c r="D17" s="12" t="s">
        <v>27</v>
      </c>
      <c r="E17" s="12" t="s">
        <v>28</v>
      </c>
      <c r="F17" s="12" t="s">
        <v>29</v>
      </c>
    </row>
    <row r="18" customFormat="false" ht="30" hidden="false" customHeight="true" outlineLevel="0" collapsed="false">
      <c r="A18" s="13" t="s">
        <v>30</v>
      </c>
      <c r="B18" s="13" t="n">
        <v>0</v>
      </c>
      <c r="C18" s="13" t="n">
        <v>0</v>
      </c>
      <c r="D18" s="13" t="s">
        <v>31</v>
      </c>
      <c r="E18" s="13" t="s">
        <v>28</v>
      </c>
      <c r="F18" s="13" t="s">
        <v>32</v>
      </c>
    </row>
    <row r="19" customFormat="false" ht="30" hidden="false" customHeight="true" outlineLevel="0" collapsed="false">
      <c r="A19" s="13" t="s">
        <v>33</v>
      </c>
      <c r="B19" s="14" t="s">
        <v>34</v>
      </c>
      <c r="C19" s="14" t="s">
        <v>34</v>
      </c>
      <c r="D19" s="13" t="s">
        <v>35</v>
      </c>
      <c r="E19" s="13" t="s">
        <v>36</v>
      </c>
      <c r="F19" s="13" t="s">
        <v>37</v>
      </c>
    </row>
    <row r="20" customFormat="false" ht="30" hidden="false" customHeight="true" outlineLevel="0" collapsed="false">
      <c r="A20" s="13" t="s">
        <v>38</v>
      </c>
      <c r="B20" s="14" t="s">
        <v>34</v>
      </c>
      <c r="C20" s="14" t="s">
        <v>34</v>
      </c>
      <c r="D20" s="13" t="s">
        <v>39</v>
      </c>
      <c r="E20" s="13" t="s">
        <v>40</v>
      </c>
      <c r="F20" s="13" t="s">
        <v>41</v>
      </c>
    </row>
    <row r="21" customFormat="false" ht="30" hidden="false" customHeight="true" outlineLevel="0" collapsed="false">
      <c r="A21" s="13" t="s">
        <v>42</v>
      </c>
      <c r="B21" s="13" t="n">
        <v>0</v>
      </c>
      <c r="C21" s="13" t="s">
        <v>43</v>
      </c>
      <c r="D21" s="13" t="s">
        <v>31</v>
      </c>
      <c r="E21" s="13" t="s">
        <v>28</v>
      </c>
      <c r="F21" s="13" t="s">
        <v>44</v>
      </c>
    </row>
    <row r="24" customFormat="false" ht="15" hidden="false" customHeight="false" outlineLevel="0" collapsed="false">
      <c r="A24" s="10" t="s">
        <v>45</v>
      </c>
      <c r="B24" s="10"/>
      <c r="C24" s="10"/>
      <c r="D24" s="10"/>
      <c r="E24" s="10"/>
      <c r="F24" s="10"/>
    </row>
    <row r="25" customFormat="false" ht="15" hidden="false" customHeight="true" outlineLevel="0" collapsed="false">
      <c r="A25" s="15" t="s">
        <v>46</v>
      </c>
      <c r="B25" s="16" t="s">
        <v>47</v>
      </c>
      <c r="C25" s="16"/>
      <c r="D25" s="16"/>
      <c r="E25" s="16"/>
      <c r="F25" s="16"/>
    </row>
    <row r="26" customFormat="false" ht="15" hidden="false" customHeight="true" outlineLevel="0" collapsed="false">
      <c r="A26" s="15" t="s">
        <v>48</v>
      </c>
      <c r="B26" s="16" t="s">
        <v>49</v>
      </c>
      <c r="C26" s="16"/>
      <c r="D26" s="16"/>
      <c r="E26" s="16"/>
      <c r="F26" s="16"/>
    </row>
    <row r="27" customFormat="false" ht="28.35" hidden="false" customHeight="true" outlineLevel="0" collapsed="false">
      <c r="A27" s="15" t="s">
        <v>50</v>
      </c>
      <c r="B27" s="16" t="s">
        <v>51</v>
      </c>
      <c r="C27" s="16"/>
      <c r="D27" s="16"/>
      <c r="E27" s="16"/>
      <c r="F27" s="16"/>
    </row>
    <row r="28" customFormat="false" ht="28.35" hidden="false" customHeight="true" outlineLevel="0" collapsed="false">
      <c r="A28" s="15" t="s">
        <v>52</v>
      </c>
      <c r="B28" s="16" t="s">
        <v>53</v>
      </c>
      <c r="C28" s="16"/>
      <c r="D28" s="16"/>
      <c r="E28" s="16"/>
      <c r="F28" s="16"/>
    </row>
    <row r="30" customFormat="false" ht="15" hidden="false" customHeight="false" outlineLevel="0" collapsed="false">
      <c r="A30" s="10" t="s">
        <v>54</v>
      </c>
      <c r="B30" s="10"/>
      <c r="C30" s="10"/>
      <c r="D30" s="10"/>
      <c r="E30" s="10"/>
      <c r="F30" s="10"/>
    </row>
    <row r="31" customFormat="false" ht="15" hidden="false" customHeight="true" outlineLevel="0" collapsed="false">
      <c r="A31" s="17" t="s">
        <v>55</v>
      </c>
      <c r="B31" s="17"/>
      <c r="C31" s="17"/>
      <c r="D31" s="17"/>
      <c r="E31" s="17"/>
      <c r="F31" s="17"/>
    </row>
    <row r="32" customFormat="false" ht="15" hidden="false" customHeight="true" outlineLevel="0" collapsed="false">
      <c r="A32" s="17" t="s">
        <v>56</v>
      </c>
      <c r="B32" s="17"/>
      <c r="C32" s="17"/>
      <c r="D32" s="17"/>
      <c r="E32" s="17"/>
      <c r="F32" s="17"/>
    </row>
    <row r="33" customFormat="false" ht="15" hidden="false" customHeight="true" outlineLevel="0" collapsed="false">
      <c r="A33" s="17" t="s">
        <v>57</v>
      </c>
      <c r="B33" s="17"/>
      <c r="C33" s="17"/>
      <c r="D33" s="17"/>
      <c r="E33" s="17"/>
      <c r="F33" s="17"/>
    </row>
    <row r="34" customFormat="false" ht="15" hidden="false" customHeight="true" outlineLevel="0" collapsed="false">
      <c r="A34" s="17" t="s">
        <v>58</v>
      </c>
      <c r="B34" s="17"/>
      <c r="C34" s="17"/>
      <c r="D34" s="17"/>
      <c r="E34" s="17"/>
      <c r="F34" s="17"/>
    </row>
  </sheetData>
  <mergeCells count="13">
    <mergeCell ref="A1:F1"/>
    <mergeCell ref="A2:F2"/>
    <mergeCell ref="A15:F15"/>
    <mergeCell ref="A24:F24"/>
    <mergeCell ref="B25:F25"/>
    <mergeCell ref="B26:F26"/>
    <mergeCell ref="B27:F27"/>
    <mergeCell ref="B28:F28"/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50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</row>
    <row r="3" customFormat="false" ht="15" hidden="false" customHeight="false" outlineLevel="0" collapsed="false">
      <c r="A3" s="18" t="s">
        <v>60</v>
      </c>
      <c r="B3" s="18"/>
      <c r="C3" s="18"/>
      <c r="D3" s="18"/>
      <c r="E3" s="18"/>
    </row>
    <row r="4" customFormat="false" ht="15" hidden="false" customHeight="true" outlineLevel="0" collapsed="false">
      <c r="A4" s="19" t="s">
        <v>61</v>
      </c>
      <c r="B4" s="19"/>
      <c r="C4" s="19"/>
      <c r="D4" s="19"/>
      <c r="E4" s="19"/>
    </row>
    <row r="6" customFormat="false" ht="15" hidden="false" customHeight="false" outlineLevel="0" collapsed="false">
      <c r="A6" s="20" t="s">
        <v>62</v>
      </c>
      <c r="B6" s="20"/>
      <c r="C6" s="20"/>
      <c r="D6" s="20"/>
      <c r="E6" s="20"/>
    </row>
    <row r="7" customFormat="false" ht="23.85" hidden="false" customHeight="false" outlineLevel="0" collapsed="false">
      <c r="A7" s="11" t="s">
        <v>63</v>
      </c>
      <c r="B7" s="11" t="s">
        <v>64</v>
      </c>
      <c r="C7" s="11" t="s">
        <v>65</v>
      </c>
      <c r="D7" s="11" t="s">
        <v>66</v>
      </c>
      <c r="E7" s="11" t="s">
        <v>67</v>
      </c>
    </row>
    <row r="8" customFormat="false" ht="22.35" hidden="false" customHeight="false" outlineLevel="0" collapsed="false">
      <c r="A8" s="21" t="s">
        <v>68</v>
      </c>
      <c r="B8" s="22" t="n">
        <v>0</v>
      </c>
      <c r="C8" s="22" t="n">
        <v>0</v>
      </c>
      <c r="D8" s="23" t="s">
        <v>69</v>
      </c>
      <c r="E8" s="24" t="s">
        <v>70</v>
      </c>
    </row>
    <row r="9" customFormat="false" ht="22.35" hidden="false" customHeight="false" outlineLevel="0" collapsed="false">
      <c r="A9" s="21" t="s">
        <v>71</v>
      </c>
      <c r="B9" s="22" t="n">
        <v>8000</v>
      </c>
      <c r="C9" s="22" t="n">
        <v>15000</v>
      </c>
      <c r="D9" s="23" t="s">
        <v>72</v>
      </c>
      <c r="E9" s="25" t="s">
        <v>73</v>
      </c>
    </row>
    <row r="10" customFormat="false" ht="22.35" hidden="false" customHeight="false" outlineLevel="0" collapsed="false">
      <c r="A10" s="21" t="s">
        <v>74</v>
      </c>
      <c r="B10" s="22" t="n">
        <v>4000</v>
      </c>
      <c r="C10" s="22" t="n">
        <v>8000</v>
      </c>
      <c r="D10" s="23" t="s">
        <v>75</v>
      </c>
      <c r="E10" s="25" t="s">
        <v>73</v>
      </c>
    </row>
    <row r="11" customFormat="false" ht="15" hidden="false" customHeight="false" outlineLevel="0" collapsed="false">
      <c r="A11" s="21" t="s">
        <v>76</v>
      </c>
      <c r="B11" s="22" t="n">
        <v>0</v>
      </c>
      <c r="C11" s="22" t="n">
        <v>1000</v>
      </c>
      <c r="D11" s="23" t="s">
        <v>77</v>
      </c>
      <c r="E11" s="25" t="s">
        <v>73</v>
      </c>
    </row>
    <row r="12" customFormat="false" ht="15" hidden="false" customHeight="false" outlineLevel="0" collapsed="false">
      <c r="A12" s="21" t="s">
        <v>78</v>
      </c>
      <c r="B12" s="22" t="n">
        <v>0</v>
      </c>
      <c r="C12" s="22" t="n">
        <v>2000</v>
      </c>
      <c r="D12" s="23" t="s">
        <v>79</v>
      </c>
      <c r="E12" s="25" t="s">
        <v>73</v>
      </c>
    </row>
    <row r="13" customFormat="false" ht="15" hidden="false" customHeight="false" outlineLevel="0" collapsed="false">
      <c r="A13" s="26" t="s">
        <v>80</v>
      </c>
      <c r="B13" s="27" t="n">
        <f aca="false">SUM(B8:B12)</f>
        <v>12000</v>
      </c>
      <c r="C13" s="27" t="n">
        <f aca="false">SUM(C8:C12)</f>
        <v>26000</v>
      </c>
      <c r="D13" s="28"/>
      <c r="E13" s="28"/>
    </row>
    <row r="15" customFormat="false" ht="15" hidden="false" customHeight="false" outlineLevel="0" collapsed="false">
      <c r="A15" s="20" t="s">
        <v>81</v>
      </c>
      <c r="B15" s="20"/>
      <c r="C15" s="20"/>
      <c r="D15" s="20"/>
      <c r="E15" s="20"/>
    </row>
    <row r="16" customFormat="false" ht="23.85" hidden="false" customHeight="false" outlineLevel="0" collapsed="false">
      <c r="A16" s="11" t="s">
        <v>63</v>
      </c>
      <c r="B16" s="11" t="s">
        <v>64</v>
      </c>
      <c r="C16" s="11" t="s">
        <v>65</v>
      </c>
      <c r="D16" s="11" t="s">
        <v>66</v>
      </c>
      <c r="E16" s="11" t="s">
        <v>67</v>
      </c>
    </row>
    <row r="17" customFormat="false" ht="22.35" hidden="false" customHeight="false" outlineLevel="0" collapsed="false">
      <c r="A17" s="21" t="s">
        <v>82</v>
      </c>
      <c r="B17" s="22" t="n">
        <v>1500</v>
      </c>
      <c r="C17" s="22" t="n">
        <v>3000</v>
      </c>
      <c r="D17" s="23" t="s">
        <v>83</v>
      </c>
      <c r="E17" s="25" t="s">
        <v>73</v>
      </c>
    </row>
    <row r="18" customFormat="false" ht="15" hidden="false" customHeight="false" outlineLevel="0" collapsed="false">
      <c r="A18" s="21" t="s">
        <v>84</v>
      </c>
      <c r="B18" s="22" t="n">
        <v>1500</v>
      </c>
      <c r="C18" s="22" t="n">
        <v>3000</v>
      </c>
      <c r="D18" s="23" t="s">
        <v>85</v>
      </c>
      <c r="E18" s="25" t="s">
        <v>73</v>
      </c>
    </row>
    <row r="19" customFormat="false" ht="22.35" hidden="false" customHeight="false" outlineLevel="0" collapsed="false">
      <c r="A19" s="21" t="s">
        <v>86</v>
      </c>
      <c r="B19" s="22" t="n">
        <v>0</v>
      </c>
      <c r="C19" s="22" t="n">
        <v>5000</v>
      </c>
      <c r="D19" s="23" t="s">
        <v>87</v>
      </c>
      <c r="E19" s="29" t="s">
        <v>88</v>
      </c>
    </row>
    <row r="20" customFormat="false" ht="15" hidden="false" customHeight="false" outlineLevel="0" collapsed="false">
      <c r="A20" s="21" t="s">
        <v>89</v>
      </c>
      <c r="B20" s="22" t="n">
        <v>0</v>
      </c>
      <c r="C20" s="22" t="n">
        <v>0</v>
      </c>
      <c r="D20" s="23" t="s">
        <v>90</v>
      </c>
      <c r="E20" s="29" t="s">
        <v>88</v>
      </c>
    </row>
    <row r="21" customFormat="false" ht="22.35" hidden="false" customHeight="false" outlineLevel="0" collapsed="false">
      <c r="A21" s="21" t="s">
        <v>91</v>
      </c>
      <c r="B21" s="22" t="n">
        <v>0</v>
      </c>
      <c r="C21" s="22" t="n">
        <v>0</v>
      </c>
      <c r="D21" s="23" t="s">
        <v>92</v>
      </c>
      <c r="E21" s="29" t="s">
        <v>88</v>
      </c>
    </row>
    <row r="22" customFormat="false" ht="22.35" hidden="false" customHeight="false" outlineLevel="0" collapsed="false">
      <c r="A22" s="21" t="s">
        <v>93</v>
      </c>
      <c r="B22" s="22" t="n">
        <v>0</v>
      </c>
      <c r="C22" s="22" t="n">
        <v>0</v>
      </c>
      <c r="D22" s="23" t="s">
        <v>94</v>
      </c>
      <c r="E22" s="29" t="s">
        <v>88</v>
      </c>
    </row>
    <row r="23" customFormat="false" ht="22.35" hidden="false" customHeight="false" outlineLevel="0" collapsed="false">
      <c r="A23" s="21" t="s">
        <v>95</v>
      </c>
      <c r="B23" s="22" t="n">
        <v>0</v>
      </c>
      <c r="C23" s="22" t="n">
        <v>0</v>
      </c>
      <c r="D23" s="23" t="s">
        <v>96</v>
      </c>
      <c r="E23" s="29" t="s">
        <v>88</v>
      </c>
    </row>
    <row r="24" customFormat="false" ht="22.35" hidden="false" customHeight="false" outlineLevel="0" collapsed="false">
      <c r="A24" s="21" t="s">
        <v>97</v>
      </c>
      <c r="B24" s="22" t="n">
        <v>30000</v>
      </c>
      <c r="C24" s="22" t="n">
        <v>60000</v>
      </c>
      <c r="D24" s="23" t="s">
        <v>98</v>
      </c>
      <c r="E24" s="25" t="s">
        <v>73</v>
      </c>
    </row>
    <row r="25" customFormat="false" ht="22.35" hidden="false" customHeight="false" outlineLevel="0" collapsed="false">
      <c r="A25" s="21" t="s">
        <v>99</v>
      </c>
      <c r="B25" s="22" t="n">
        <v>5000</v>
      </c>
      <c r="C25" s="22" t="n">
        <v>15000</v>
      </c>
      <c r="D25" s="23" t="s">
        <v>100</v>
      </c>
      <c r="E25" s="25" t="s">
        <v>73</v>
      </c>
    </row>
    <row r="26" customFormat="false" ht="15" hidden="false" customHeight="false" outlineLevel="0" collapsed="false">
      <c r="A26" s="21" t="s">
        <v>101</v>
      </c>
      <c r="B26" s="22" t="n">
        <v>1500</v>
      </c>
      <c r="C26" s="22" t="n">
        <v>3000</v>
      </c>
      <c r="D26" s="23" t="s">
        <v>102</v>
      </c>
      <c r="E26" s="25" t="s">
        <v>73</v>
      </c>
    </row>
    <row r="27" customFormat="false" ht="22.35" hidden="false" customHeight="false" outlineLevel="0" collapsed="false">
      <c r="A27" s="21" t="s">
        <v>103</v>
      </c>
      <c r="B27" s="22" t="n">
        <v>5000</v>
      </c>
      <c r="C27" s="22" t="n">
        <v>12000</v>
      </c>
      <c r="D27" s="23" t="s">
        <v>104</v>
      </c>
      <c r="E27" s="25" t="s">
        <v>73</v>
      </c>
    </row>
    <row r="28" customFormat="false" ht="15" hidden="false" customHeight="false" outlineLevel="0" collapsed="false">
      <c r="A28" s="26" t="s">
        <v>80</v>
      </c>
      <c r="B28" s="27" t="n">
        <f aca="false">SUM(B17:B27)</f>
        <v>44500</v>
      </c>
      <c r="C28" s="27" t="n">
        <f aca="false">SUM(C17:C27)</f>
        <v>101000</v>
      </c>
      <c r="D28" s="28"/>
      <c r="E28" s="28"/>
    </row>
    <row r="30" customFormat="false" ht="15" hidden="false" customHeight="false" outlineLevel="0" collapsed="false">
      <c r="A30" s="20" t="s">
        <v>105</v>
      </c>
      <c r="B30" s="20"/>
      <c r="C30" s="20"/>
      <c r="D30" s="20"/>
      <c r="E30" s="20"/>
    </row>
    <row r="31" customFormat="false" ht="23.85" hidden="false" customHeight="false" outlineLevel="0" collapsed="false">
      <c r="A31" s="11" t="s">
        <v>63</v>
      </c>
      <c r="B31" s="11" t="s">
        <v>64</v>
      </c>
      <c r="C31" s="11" t="s">
        <v>65</v>
      </c>
      <c r="D31" s="11" t="s">
        <v>66</v>
      </c>
      <c r="E31" s="11" t="s">
        <v>67</v>
      </c>
    </row>
    <row r="32" customFormat="false" ht="15" hidden="false" customHeight="false" outlineLevel="0" collapsed="false">
      <c r="A32" s="21" t="s">
        <v>106</v>
      </c>
      <c r="B32" s="22" t="n">
        <v>0</v>
      </c>
      <c r="C32" s="22" t="n">
        <v>5000</v>
      </c>
      <c r="D32" s="23" t="s">
        <v>107</v>
      </c>
      <c r="E32" s="29" t="s">
        <v>88</v>
      </c>
    </row>
    <row r="33" customFormat="false" ht="22.35" hidden="false" customHeight="false" outlineLevel="0" collapsed="false">
      <c r="A33" s="21" t="s">
        <v>108</v>
      </c>
      <c r="B33" s="22" t="n">
        <v>0</v>
      </c>
      <c r="C33" s="22" t="n">
        <v>3000</v>
      </c>
      <c r="D33" s="23" t="s">
        <v>109</v>
      </c>
      <c r="E33" s="29" t="s">
        <v>88</v>
      </c>
    </row>
    <row r="34" customFormat="false" ht="15" hidden="false" customHeight="false" outlineLevel="0" collapsed="false">
      <c r="A34" s="21" t="s">
        <v>110</v>
      </c>
      <c r="B34" s="22" t="n">
        <v>0</v>
      </c>
      <c r="C34" s="22" t="n">
        <v>0</v>
      </c>
      <c r="D34" s="23" t="s">
        <v>111</v>
      </c>
      <c r="E34" s="29" t="s">
        <v>88</v>
      </c>
    </row>
    <row r="35" customFormat="false" ht="15" hidden="false" customHeight="false" outlineLevel="0" collapsed="false">
      <c r="A35" s="21" t="s">
        <v>112</v>
      </c>
      <c r="B35" s="22" t="n">
        <v>25000</v>
      </c>
      <c r="C35" s="22" t="n">
        <v>50000</v>
      </c>
      <c r="D35" s="23" t="s">
        <v>113</v>
      </c>
      <c r="E35" s="25" t="s">
        <v>73</v>
      </c>
    </row>
    <row r="36" customFormat="false" ht="15" hidden="false" customHeight="false" outlineLevel="0" collapsed="false">
      <c r="A36" s="21" t="s">
        <v>114</v>
      </c>
      <c r="B36" s="22" t="n">
        <v>4000</v>
      </c>
      <c r="C36" s="22" t="n">
        <v>10000</v>
      </c>
      <c r="D36" s="23" t="s">
        <v>115</v>
      </c>
      <c r="E36" s="25" t="s">
        <v>73</v>
      </c>
    </row>
    <row r="37" customFormat="false" ht="15" hidden="false" customHeight="false" outlineLevel="0" collapsed="false">
      <c r="A37" s="26" t="s">
        <v>80</v>
      </c>
      <c r="B37" s="27" t="n">
        <f aca="false">SUM(B32:B36)</f>
        <v>29000</v>
      </c>
      <c r="C37" s="27" t="n">
        <f aca="false">SUM(C32:C36)</f>
        <v>68000</v>
      </c>
      <c r="D37" s="28"/>
      <c r="E37" s="28"/>
    </row>
    <row r="39" customFormat="false" ht="15" hidden="false" customHeight="false" outlineLevel="0" collapsed="false">
      <c r="A39" s="20" t="s">
        <v>116</v>
      </c>
      <c r="B39" s="20"/>
      <c r="C39" s="20"/>
      <c r="D39" s="20"/>
      <c r="E39" s="20"/>
    </row>
    <row r="40" customFormat="false" ht="23.85" hidden="false" customHeight="false" outlineLevel="0" collapsed="false">
      <c r="A40" s="11" t="s">
        <v>63</v>
      </c>
      <c r="B40" s="11" t="s">
        <v>64</v>
      </c>
      <c r="C40" s="11" t="s">
        <v>65</v>
      </c>
      <c r="D40" s="11" t="s">
        <v>66</v>
      </c>
      <c r="E40" s="11" t="s">
        <v>67</v>
      </c>
    </row>
    <row r="41" customFormat="false" ht="15" hidden="false" customHeight="false" outlineLevel="0" collapsed="false">
      <c r="A41" s="21" t="s">
        <v>117</v>
      </c>
      <c r="B41" s="22" t="n">
        <v>0</v>
      </c>
      <c r="C41" s="22" t="n">
        <v>0</v>
      </c>
      <c r="D41" s="23" t="s">
        <v>118</v>
      </c>
      <c r="E41" s="24" t="s">
        <v>70</v>
      </c>
    </row>
    <row r="42" customFormat="false" ht="22.35" hidden="false" customHeight="false" outlineLevel="0" collapsed="false">
      <c r="A42" s="21" t="s">
        <v>119</v>
      </c>
      <c r="B42" s="22" t="n">
        <v>30000</v>
      </c>
      <c r="C42" s="22" t="n">
        <v>100000</v>
      </c>
      <c r="D42" s="23" t="s">
        <v>120</v>
      </c>
      <c r="E42" s="29" t="s">
        <v>88</v>
      </c>
    </row>
    <row r="43" customFormat="false" ht="15" hidden="false" customHeight="false" outlineLevel="0" collapsed="false">
      <c r="A43" s="21" t="s">
        <v>121</v>
      </c>
      <c r="B43" s="22" t="n">
        <v>0</v>
      </c>
      <c r="C43" s="22" t="n">
        <v>0</v>
      </c>
      <c r="D43" s="23" t="s">
        <v>122</v>
      </c>
      <c r="E43" s="29" t="s">
        <v>88</v>
      </c>
    </row>
    <row r="44" customFormat="false" ht="22.35" hidden="false" customHeight="false" outlineLevel="0" collapsed="false">
      <c r="A44" s="21" t="s">
        <v>123</v>
      </c>
      <c r="B44" s="22" t="n">
        <v>6000</v>
      </c>
      <c r="C44" s="22" t="n">
        <v>24000</v>
      </c>
      <c r="D44" s="23" t="s">
        <v>124</v>
      </c>
      <c r="E44" s="29" t="s">
        <v>88</v>
      </c>
    </row>
    <row r="45" customFormat="false" ht="22.35" hidden="false" customHeight="false" outlineLevel="0" collapsed="false">
      <c r="A45" s="21" t="s">
        <v>125</v>
      </c>
      <c r="B45" s="22" t="n">
        <v>4000</v>
      </c>
      <c r="C45" s="22" t="n">
        <v>8000</v>
      </c>
      <c r="D45" s="23" t="s">
        <v>126</v>
      </c>
      <c r="E45" s="25" t="s">
        <v>73</v>
      </c>
    </row>
    <row r="46" customFormat="false" ht="22.35" hidden="false" customHeight="false" outlineLevel="0" collapsed="false">
      <c r="A46" s="21" t="s">
        <v>127</v>
      </c>
      <c r="B46" s="22" t="n">
        <v>60000</v>
      </c>
      <c r="C46" s="22" t="n">
        <v>180000</v>
      </c>
      <c r="D46" s="23" t="s">
        <v>128</v>
      </c>
      <c r="E46" s="25" t="s">
        <v>73</v>
      </c>
    </row>
    <row r="47" customFormat="false" ht="15" hidden="false" customHeight="false" outlineLevel="0" collapsed="false">
      <c r="A47" s="26" t="s">
        <v>80</v>
      </c>
      <c r="B47" s="27" t="n">
        <f aca="false">SUM(B41:B46)</f>
        <v>100000</v>
      </c>
      <c r="C47" s="27" t="n">
        <f aca="false">SUM(C41:C46)</f>
        <v>312000</v>
      </c>
      <c r="D47" s="28"/>
      <c r="E47" s="28"/>
    </row>
  </sheetData>
  <mergeCells count="7">
    <mergeCell ref="A1:E1"/>
    <mergeCell ref="A3:E3"/>
    <mergeCell ref="A4:E4"/>
    <mergeCell ref="A6:E6"/>
    <mergeCell ref="A15:E15"/>
    <mergeCell ref="A30:E30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129</v>
      </c>
      <c r="B1" s="1"/>
      <c r="C1" s="1"/>
      <c r="D1" s="1"/>
      <c r="E1" s="1"/>
      <c r="F1" s="1"/>
    </row>
    <row r="3" customFormat="false" ht="34.5" hidden="false" customHeight="true" outlineLevel="0" collapsed="false">
      <c r="A3" s="30" t="s">
        <v>130</v>
      </c>
      <c r="B3" s="30" t="s">
        <v>131</v>
      </c>
      <c r="C3" s="30" t="s">
        <v>132</v>
      </c>
      <c r="D3" s="30" t="s">
        <v>133</v>
      </c>
      <c r="E3" s="30" t="s">
        <v>134</v>
      </c>
      <c r="F3" s="30" t="s">
        <v>135</v>
      </c>
    </row>
    <row r="4" customFormat="false" ht="39.75" hidden="false" customHeight="true" outlineLevel="0" collapsed="false">
      <c r="A4" s="31" t="s">
        <v>136</v>
      </c>
      <c r="B4" s="32" t="s">
        <v>137</v>
      </c>
      <c r="C4" s="32" t="s">
        <v>138</v>
      </c>
      <c r="D4" s="32" t="s">
        <v>139</v>
      </c>
      <c r="E4" s="32" t="s">
        <v>140</v>
      </c>
      <c r="F4" s="32" t="s">
        <v>141</v>
      </c>
    </row>
    <row r="5" customFormat="false" ht="39.75" hidden="false" customHeight="true" outlineLevel="0" collapsed="false">
      <c r="A5" s="31" t="s">
        <v>142</v>
      </c>
      <c r="B5" s="32" t="s">
        <v>143</v>
      </c>
      <c r="C5" s="32" t="s">
        <v>143</v>
      </c>
      <c r="D5" s="32" t="s">
        <v>143</v>
      </c>
      <c r="E5" s="32" t="s">
        <v>144</v>
      </c>
      <c r="F5" s="32" t="s">
        <v>145</v>
      </c>
    </row>
    <row r="6" customFormat="false" ht="39.75" hidden="false" customHeight="true" outlineLevel="0" collapsed="false">
      <c r="A6" s="31" t="s">
        <v>146</v>
      </c>
      <c r="B6" s="32" t="s">
        <v>147</v>
      </c>
      <c r="C6" s="32" t="s">
        <v>148</v>
      </c>
      <c r="D6" s="32" t="s">
        <v>149</v>
      </c>
      <c r="E6" s="32" t="s">
        <v>150</v>
      </c>
      <c r="F6" s="32" t="s">
        <v>151</v>
      </c>
    </row>
    <row r="7" customFormat="false" ht="39.75" hidden="false" customHeight="true" outlineLevel="0" collapsed="false">
      <c r="A7" s="31" t="s">
        <v>152</v>
      </c>
      <c r="B7" s="32" t="s">
        <v>153</v>
      </c>
      <c r="C7" s="32" t="s">
        <v>154</v>
      </c>
      <c r="D7" s="32" t="s">
        <v>155</v>
      </c>
      <c r="E7" s="32" t="s">
        <v>156</v>
      </c>
      <c r="F7" s="32" t="s">
        <v>156</v>
      </c>
    </row>
    <row r="8" customFormat="false" ht="39.75" hidden="false" customHeight="true" outlineLevel="0" collapsed="false">
      <c r="A8" s="31" t="s">
        <v>157</v>
      </c>
      <c r="B8" s="32" t="s">
        <v>158</v>
      </c>
      <c r="C8" s="32" t="s">
        <v>159</v>
      </c>
      <c r="D8" s="32" t="s">
        <v>159</v>
      </c>
      <c r="E8" s="32" t="s">
        <v>159</v>
      </c>
      <c r="F8" s="32" t="s">
        <v>160</v>
      </c>
    </row>
    <row r="9" customFormat="false" ht="39.75" hidden="false" customHeight="true" outlineLevel="0" collapsed="false">
      <c r="A9" s="31" t="s">
        <v>161</v>
      </c>
      <c r="B9" s="32" t="s">
        <v>162</v>
      </c>
      <c r="C9" s="32" t="s">
        <v>163</v>
      </c>
      <c r="D9" s="32" t="s">
        <v>164</v>
      </c>
      <c r="E9" s="32" t="s">
        <v>165</v>
      </c>
      <c r="F9" s="32" t="s">
        <v>166</v>
      </c>
    </row>
    <row r="10" customFormat="false" ht="39.75" hidden="false" customHeight="true" outlineLevel="0" collapsed="false">
      <c r="A10" s="31" t="s">
        <v>167</v>
      </c>
      <c r="B10" s="32" t="s">
        <v>168</v>
      </c>
      <c r="C10" s="32" t="s">
        <v>168</v>
      </c>
      <c r="D10" s="32" t="s">
        <v>169</v>
      </c>
      <c r="E10" s="32" t="s">
        <v>170</v>
      </c>
      <c r="F10" s="32" t="s">
        <v>168</v>
      </c>
    </row>
    <row r="11" customFormat="false" ht="39.75" hidden="false" customHeight="true" outlineLevel="0" collapsed="false">
      <c r="A11" s="31" t="s">
        <v>171</v>
      </c>
      <c r="B11" s="32" t="s">
        <v>27</v>
      </c>
      <c r="C11" s="32" t="s">
        <v>31</v>
      </c>
      <c r="D11" s="32" t="s">
        <v>172</v>
      </c>
      <c r="E11" s="32" t="s">
        <v>39</v>
      </c>
      <c r="F11" s="32" t="s">
        <v>31</v>
      </c>
    </row>
    <row r="12" customFormat="false" ht="39.75" hidden="false" customHeight="true" outlineLevel="0" collapsed="false">
      <c r="A12" s="31" t="s">
        <v>173</v>
      </c>
      <c r="B12" s="32" t="s">
        <v>174</v>
      </c>
      <c r="C12" s="32" t="s">
        <v>175</v>
      </c>
      <c r="D12" s="32" t="s">
        <v>176</v>
      </c>
      <c r="E12" s="32" t="s">
        <v>177</v>
      </c>
      <c r="F12" s="32" t="s">
        <v>178</v>
      </c>
    </row>
    <row r="13" customFormat="false" ht="39.75" hidden="false" customHeight="true" outlineLevel="0" collapsed="false">
      <c r="A13" s="31" t="s">
        <v>179</v>
      </c>
      <c r="B13" s="32" t="s">
        <v>180</v>
      </c>
      <c r="C13" s="32" t="s">
        <v>181</v>
      </c>
      <c r="D13" s="32" t="s">
        <v>182</v>
      </c>
      <c r="E13" s="32" t="s">
        <v>183</v>
      </c>
      <c r="F13" s="32" t="s">
        <v>184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8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185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186</v>
      </c>
      <c r="B2" s="2"/>
      <c r="C2" s="2"/>
      <c r="D2" s="2"/>
      <c r="E2" s="2"/>
    </row>
    <row r="4" customFormat="false" ht="15" hidden="false" customHeight="false" outlineLevel="0" collapsed="false">
      <c r="A4" s="33" t="s">
        <v>187</v>
      </c>
      <c r="B4" s="33" t="s">
        <v>188</v>
      </c>
      <c r="C4" s="33" t="s">
        <v>189</v>
      </c>
      <c r="D4" s="33" t="s">
        <v>190</v>
      </c>
      <c r="E4" s="33" t="s">
        <v>191</v>
      </c>
    </row>
    <row r="5" customFormat="false" ht="34.5" hidden="false" customHeight="true" outlineLevel="0" collapsed="false">
      <c r="A5" s="13" t="s">
        <v>192</v>
      </c>
      <c r="B5" s="13" t="s">
        <v>193</v>
      </c>
      <c r="C5" s="13" t="s">
        <v>194</v>
      </c>
      <c r="D5" s="13" t="s">
        <v>195</v>
      </c>
      <c r="E5" s="14"/>
    </row>
    <row r="6" customFormat="false" ht="34.5" hidden="false" customHeight="true" outlineLevel="0" collapsed="false">
      <c r="A6" s="13" t="s">
        <v>196</v>
      </c>
      <c r="B6" s="13" t="s">
        <v>197</v>
      </c>
      <c r="C6" s="13" t="s">
        <v>198</v>
      </c>
      <c r="D6" s="13" t="s">
        <v>195</v>
      </c>
      <c r="E6" s="14"/>
    </row>
    <row r="7" customFormat="false" ht="34.5" hidden="false" customHeight="true" outlineLevel="0" collapsed="false">
      <c r="A7" s="13" t="s">
        <v>199</v>
      </c>
      <c r="B7" s="13" t="s">
        <v>200</v>
      </c>
      <c r="C7" s="13" t="s">
        <v>198</v>
      </c>
      <c r="D7" s="13" t="s">
        <v>195</v>
      </c>
      <c r="E7" s="14"/>
    </row>
    <row r="8" customFormat="false" ht="34.5" hidden="false" customHeight="true" outlineLevel="0" collapsed="false">
      <c r="A8" s="13" t="s">
        <v>201</v>
      </c>
      <c r="B8" s="13" t="s">
        <v>202</v>
      </c>
      <c r="C8" s="13" t="s">
        <v>203</v>
      </c>
      <c r="D8" s="13" t="s">
        <v>204</v>
      </c>
      <c r="E8" s="14"/>
    </row>
    <row r="9" customFormat="false" ht="34.5" hidden="false" customHeight="true" outlineLevel="0" collapsed="false">
      <c r="A9" s="13" t="s">
        <v>205</v>
      </c>
      <c r="B9" s="13" t="s">
        <v>206</v>
      </c>
      <c r="C9" s="13" t="s">
        <v>207</v>
      </c>
      <c r="D9" s="13" t="s">
        <v>208</v>
      </c>
      <c r="E9" s="14"/>
    </row>
    <row r="10" customFormat="false" ht="34.5" hidden="false" customHeight="true" outlineLevel="0" collapsed="false">
      <c r="A10" s="13" t="s">
        <v>209</v>
      </c>
      <c r="B10" s="13" t="s">
        <v>210</v>
      </c>
      <c r="C10" s="13" t="s">
        <v>211</v>
      </c>
      <c r="D10" s="13" t="s">
        <v>208</v>
      </c>
      <c r="E10" s="14"/>
    </row>
    <row r="11" customFormat="false" ht="34.5" hidden="false" customHeight="true" outlineLevel="0" collapsed="false">
      <c r="A11" s="13" t="s">
        <v>212</v>
      </c>
      <c r="B11" s="13" t="s">
        <v>213</v>
      </c>
      <c r="C11" s="13" t="s">
        <v>214</v>
      </c>
      <c r="D11" s="13" t="s">
        <v>204</v>
      </c>
      <c r="E11" s="14"/>
    </row>
    <row r="12" customFormat="false" ht="34.5" hidden="false" customHeight="true" outlineLevel="0" collapsed="false">
      <c r="A12" s="13" t="s">
        <v>215</v>
      </c>
      <c r="B12" s="13" t="s">
        <v>110</v>
      </c>
      <c r="C12" s="13" t="s">
        <v>216</v>
      </c>
      <c r="D12" s="13" t="s">
        <v>34</v>
      </c>
      <c r="E12" s="14"/>
    </row>
    <row r="13" customFormat="false" ht="34.5" hidden="false" customHeight="true" outlineLevel="0" collapsed="false">
      <c r="A13" s="13" t="s">
        <v>217</v>
      </c>
      <c r="B13" s="13" t="s">
        <v>218</v>
      </c>
      <c r="C13" s="13" t="s">
        <v>219</v>
      </c>
      <c r="D13" s="13" t="s">
        <v>220</v>
      </c>
      <c r="E13" s="14"/>
    </row>
    <row r="14" customFormat="false" ht="34.5" hidden="false" customHeight="true" outlineLevel="0" collapsed="false">
      <c r="A14" s="13" t="s">
        <v>221</v>
      </c>
      <c r="B14" s="13" t="s">
        <v>222</v>
      </c>
      <c r="C14" s="13" t="s">
        <v>223</v>
      </c>
      <c r="D14" s="13" t="s">
        <v>34</v>
      </c>
      <c r="E14" s="14"/>
    </row>
    <row r="15" customFormat="false" ht="34.5" hidden="false" customHeight="true" outlineLevel="0" collapsed="false">
      <c r="A15" s="13" t="s">
        <v>224</v>
      </c>
      <c r="B15" s="13" t="s">
        <v>225</v>
      </c>
      <c r="C15" s="13" t="s">
        <v>226</v>
      </c>
      <c r="D15" s="13" t="s">
        <v>227</v>
      </c>
      <c r="E15" s="14"/>
    </row>
    <row r="16" customFormat="false" ht="34.5" hidden="false" customHeight="true" outlineLevel="0" collapsed="false">
      <c r="A16" s="13" t="s">
        <v>228</v>
      </c>
      <c r="B16" s="13" t="s">
        <v>229</v>
      </c>
      <c r="C16" s="13" t="s">
        <v>230</v>
      </c>
      <c r="D16" s="13" t="s">
        <v>231</v>
      </c>
      <c r="E16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2026-05-06T15:36:53Z</dcterms:created>
  <dc:creator>openpyxl</dc:creator>
  <dc:description/>
  <dc:language>en-US</dc:language>
  <cp:lastModifiedBy/>
  <dcterms:modified xsi:type="dcterms:W3CDTF">2026-05-06T15:36:53Z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